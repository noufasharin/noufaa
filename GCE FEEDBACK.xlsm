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NOUFAA\"/>
    </mc:Choice>
  </mc:AlternateContent>
  <xr:revisionPtr revIDLastSave="0" documentId="13_ncr:1_{3A2E04C3-927F-452F-9A7D-FB4EDE5986BC}" xr6:coauthVersionLast="47" xr6:coauthVersionMax="47" xr10:uidLastSave="{00000000-0000-0000-0000-000000000000}"/>
  <bookViews>
    <workbookView xWindow="-120" yWindow="-120" windowWidth="15600" windowHeight="10710" xr2:uid="{51D4379D-9C8B-4B3F-A766-A625BDE03021}"/>
  </bookViews>
  <sheets>
    <sheet name="info" sheetId="1" r:id="rId1"/>
    <sheet name="stdnt" sheetId="2" r:id="rId2"/>
    <sheet name="DETAILS" sheetId="3" r:id="rId3"/>
    <sheet name="Sheet1" sheetId="6" r:id="rId4"/>
    <sheet name="QUESTIONNAIRE" sheetId="4" r:id="rId5"/>
    <sheet name="result" sheetId="5" r:id="rId6"/>
  </sheets>
  <definedNames>
    <definedName name="_xlnm._FilterDatabase" localSheetId="1" hidden="1">stdnt!$A$4:$C$15</definedName>
    <definedName name="ABC">Table1[NAME]</definedName>
    <definedName name="_xlnm.Criteria" localSheetId="1">stdnt!$A$4:$A$16</definedName>
    <definedName name="GEND">stdnt!$L$6:$L$7</definedName>
    <definedName name="MALE">stdnt!#REF!</definedName>
    <definedName name="NAME">Table1[NAME]</definedName>
    <definedName name="namee">Table1[NAME]</definedName>
    <definedName name="SANIYA">Table1[NAME]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4" i="5" l="1"/>
  <c r="C2" i="5"/>
  <c r="D6" i="3"/>
  <c r="D5" i="3"/>
  <c r="C3" i="5" l="1"/>
</calcChain>
</file>

<file path=xl/sharedStrings.xml><?xml version="1.0" encoding="utf-8"?>
<sst xmlns="http://schemas.openxmlformats.org/spreadsheetml/2006/main" count="129" uniqueCount="93">
  <si>
    <t>PERINTHALMANNA</t>
  </si>
  <si>
    <t>G TEC Computer Education Perinthalmanna</t>
  </si>
  <si>
    <t>Department of DVA</t>
  </si>
  <si>
    <t>MS Excel Project 2024-25</t>
  </si>
  <si>
    <t>PMNA</t>
  </si>
  <si>
    <t>SANIYA</t>
  </si>
  <si>
    <t>SHAMNA</t>
  </si>
  <si>
    <t>NAHOOFA</t>
  </si>
  <si>
    <t>DRISYA</t>
  </si>
  <si>
    <t>SHAMLEENA</t>
  </si>
  <si>
    <t>NOURIN</t>
  </si>
  <si>
    <t>SAFNA</t>
  </si>
  <si>
    <t>SREE LAKSHMI</t>
  </si>
  <si>
    <t>EJAS</t>
  </si>
  <si>
    <t>AMEER</t>
  </si>
  <si>
    <t>MUNAVER</t>
  </si>
  <si>
    <t>HINA</t>
  </si>
  <si>
    <t>NAME</t>
  </si>
  <si>
    <t>Reg.NO</t>
  </si>
  <si>
    <t>CENTER</t>
  </si>
  <si>
    <t>CALICUT</t>
  </si>
  <si>
    <t>MANJERI</t>
  </si>
  <si>
    <t>MALAPPURAM</t>
  </si>
  <si>
    <t>EDAKKARA</t>
  </si>
  <si>
    <t>REG NO</t>
  </si>
  <si>
    <t>QUESTION 1</t>
  </si>
  <si>
    <t>A.DIFA</t>
  </si>
  <si>
    <t>B.DVA</t>
  </si>
  <si>
    <t>QUESTION 2</t>
  </si>
  <si>
    <t>Which course you are selected?</t>
  </si>
  <si>
    <t>Duration of course?</t>
  </si>
  <si>
    <t>A.6 Months</t>
  </si>
  <si>
    <t>B.8 Months</t>
  </si>
  <si>
    <t>C.1 Year</t>
  </si>
  <si>
    <t>question 3</t>
  </si>
  <si>
    <t>C.Data Science</t>
  </si>
  <si>
    <t>D.Digital Marketing</t>
  </si>
  <si>
    <t>Qualification for join this course?</t>
  </si>
  <si>
    <t>A.Plus 2</t>
  </si>
  <si>
    <t>B.UG</t>
  </si>
  <si>
    <t>C.PG</t>
  </si>
  <si>
    <t>QUESTION 4</t>
  </si>
  <si>
    <t>Who is your mentor?</t>
  </si>
  <si>
    <t>A.Athira Miss</t>
  </si>
  <si>
    <t>B.Naveen Sir</t>
  </si>
  <si>
    <t>C.Vivek Sir</t>
  </si>
  <si>
    <t>D.Ajith Sir</t>
  </si>
  <si>
    <t>QUESTIONNAIRE</t>
  </si>
  <si>
    <t>Why do you prefer this course?</t>
  </si>
  <si>
    <t>A.Salary</t>
  </si>
  <si>
    <t>B.Placement assistance</t>
  </si>
  <si>
    <t>C.Internship</t>
  </si>
  <si>
    <t>D.High scope</t>
  </si>
  <si>
    <t>QUESTION 5</t>
  </si>
  <si>
    <t>QUESTION 6</t>
  </si>
  <si>
    <t>Are you satisfied with faculties of GCE?</t>
  </si>
  <si>
    <t>A.Highly satisfied</t>
  </si>
  <si>
    <t>B.Satisfied</t>
  </si>
  <si>
    <t>C.Neuteral</t>
  </si>
  <si>
    <t>D.Dissatisfied</t>
  </si>
  <si>
    <t>QUESTION 7</t>
  </si>
  <si>
    <t>Are you satisfied with facilities of GCE?</t>
  </si>
  <si>
    <t>QUESTION 8</t>
  </si>
  <si>
    <t>Rate your experience with GCE?</t>
  </si>
  <si>
    <t>A.Excellent</t>
  </si>
  <si>
    <t>B.Average</t>
  </si>
  <si>
    <t>C.Poor</t>
  </si>
  <si>
    <t>QUESTION 9</t>
  </si>
  <si>
    <t>What students support services are here?</t>
  </si>
  <si>
    <t>A. Medical Attention</t>
  </si>
  <si>
    <t>B. Mental Health</t>
  </si>
  <si>
    <t>D. Extra curricular activities</t>
  </si>
  <si>
    <t>C. Thoughts and studies</t>
  </si>
  <si>
    <t>TOTAL QUESTIONS ATTENTED</t>
  </si>
  <si>
    <t>Hello,</t>
  </si>
  <si>
    <t>We are data analysis students of GCE.It's a part of our project work.</t>
  </si>
  <si>
    <t>Please give your genuine feedback about GCE.</t>
  </si>
  <si>
    <t>QUALIFICATION</t>
  </si>
  <si>
    <t>AGE</t>
  </si>
  <si>
    <t>GENDER</t>
  </si>
  <si>
    <t>DEGREE</t>
  </si>
  <si>
    <t>FEMALE</t>
  </si>
  <si>
    <t>MALE</t>
  </si>
  <si>
    <t>DVA</t>
  </si>
  <si>
    <t>NOUFA</t>
  </si>
  <si>
    <t>UG</t>
  </si>
  <si>
    <t>ACCOUNTANT</t>
  </si>
  <si>
    <t xml:space="preserve"> BBA</t>
  </si>
  <si>
    <t>GRAPHIC DESIGNER</t>
  </si>
  <si>
    <t>LOGISTICS</t>
  </si>
  <si>
    <t>ACCOUNTING</t>
  </si>
  <si>
    <t>BBA</t>
  </si>
  <si>
    <t>COURSE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</si>
</sst>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mbria"/>
      <family val="1"/>
    </font>
    <font>
      <sz val="20"/>
      <color theme="0"/>
      <name val="Cambria"/>
      <family val="1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2">
    <xf numFmtId="0" fontId="0" fillId="0" borderId="0" xfId="0"/>
    <xf numFmtId="0" fontId="3" fillId="0" borderId="1" xfId="0" applyFont="1" applyBorder="1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3" fillId="0" borderId="1" xfId="0" applyFont="1" applyFill="1" applyBorder="1"/>
    <xf numFmtId="0" fontId="2" fillId="6" borderId="0" xfId="0" applyFont="1" applyFill="1" applyAlignment="1">
      <alignment horizontal="center" vertical="center"/>
    </xf>
    <xf numFmtId="0" fontId="3" fillId="0" borderId="2" xfId="0" applyFont="1" applyFill="1" applyBorder="1"/>
    <xf numFmtId="0" fontId="0" fillId="0" borderId="0" xfId="0" applyFill="1" applyBorder="1"/>
    <xf numFmtId="0" fontId="0" fillId="0" borderId="0" xfId="0" applyAlignment="1">
      <alignment horizontal="center" vertical="center"/>
    </xf>
    <xf numFmtId="0" fontId="0" fillId="0" borderId="0" xfId="0" applyFill="1"/>
    <xf numFmtId="0" fontId="0" fillId="8" borderId="3" xfId="0" applyFont="1" applyFill="1" applyBorder="1" applyAlignment="1">
      <alignment horizontal="center" vertical="center"/>
    </xf>
    <xf numFmtId="0" fontId="0" fillId="8" borderId="4" xfId="0" applyFont="1" applyFill="1" applyBorder="1" applyAlignment="1">
      <alignment horizontal="center" vertical="center"/>
    </xf>
    <xf numFmtId="0" fontId="0" fillId="9" borderId="1" xfId="0" applyFill="1" applyBorder="1"/>
    <xf numFmtId="0" fontId="0" fillId="9" borderId="1" xfId="0" applyFill="1" applyBorder="1" applyAlignment="1">
      <alignment horizontal="center" vertical="center"/>
    </xf>
    <xf numFmtId="0" fontId="6" fillId="2" borderId="0" xfId="0" applyFont="1" applyFill="1"/>
    <xf numFmtId="0" fontId="3" fillId="0" borderId="6" xfId="0" applyFont="1" applyBorder="1"/>
    <xf numFmtId="0" fontId="3" fillId="0" borderId="7" xfId="0" applyFont="1" applyBorder="1"/>
    <xf numFmtId="0" fontId="0" fillId="10" borderId="0" xfId="0" applyFill="1" applyBorder="1"/>
    <xf numFmtId="0" fontId="0" fillId="10" borderId="0" xfId="0" applyFill="1"/>
    <xf numFmtId="0" fontId="0" fillId="0" borderId="1" xfId="0" applyBorder="1"/>
    <xf numFmtId="0" fontId="7" fillId="0" borderId="0" xfId="1"/>
    <xf numFmtId="0" fontId="0" fillId="8" borderId="5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1" fillId="6" borderId="0" xfId="0" applyFont="1" applyFill="1" applyBorder="1" applyAlignment="1">
      <alignment horizontal="center" vertical="center"/>
    </xf>
    <xf numFmtId="0" fontId="3" fillId="0" borderId="13" xfId="0" applyFont="1" applyBorder="1"/>
    <xf numFmtId="0" fontId="3" fillId="0" borderId="13" xfId="0" applyFont="1" applyFill="1" applyBorder="1"/>
    <xf numFmtId="0" fontId="3" fillId="0" borderId="14" xfId="0" applyFont="1" applyFill="1" applyBorder="1"/>
    <xf numFmtId="0" fontId="0" fillId="0" borderId="1" xfId="0" applyBorder="1" applyAlignment="1">
      <alignment horizontal="left" vertical="top"/>
    </xf>
    <xf numFmtId="0" fontId="4" fillId="3" borderId="0" xfId="0" applyFont="1" applyFill="1" applyAlignment="1">
      <alignment horizontal="center"/>
    </xf>
    <xf numFmtId="0" fontId="4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0" fillId="8" borderId="8" xfId="0" applyFont="1" applyFill="1" applyBorder="1" applyAlignment="1">
      <alignment horizontal="center"/>
    </xf>
    <xf numFmtId="0" fontId="0" fillId="8" borderId="9" xfId="0" applyFont="1" applyFill="1" applyBorder="1" applyAlignment="1">
      <alignment horizontal="center"/>
    </xf>
    <xf numFmtId="0" fontId="0" fillId="8" borderId="10" xfId="0" applyFont="1" applyFill="1" applyBorder="1" applyAlignment="1">
      <alignment horizontal="center"/>
    </xf>
    <xf numFmtId="0" fontId="0" fillId="8" borderId="1" xfId="0" applyFont="1" applyFill="1" applyBorder="1" applyAlignment="1">
      <alignment horizontal="center"/>
    </xf>
    <xf numFmtId="0" fontId="0" fillId="8" borderId="11" xfId="0" applyFont="1" applyFill="1" applyBorder="1" applyAlignment="1">
      <alignment horizontal="center"/>
    </xf>
    <xf numFmtId="0" fontId="0" fillId="8" borderId="12" xfId="0" applyFont="1" applyFill="1" applyBorder="1" applyAlignment="1">
      <alignment horizontal="center"/>
    </xf>
    <xf numFmtId="0" fontId="0" fillId="7" borderId="0" xfId="0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family val="1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family val="1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family val="1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89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DETAILS!A1"/><Relationship Id="rId2" Type="http://schemas.openxmlformats.org/officeDocument/2006/relationships/hyperlink" Target="https://www.kindpng.com/imgv/hmmRiTJ_gtec-g-tec-computer-education-logo-hd-png/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Sheet1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hyperlink" Target="#QUESTIONNAIRE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result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hyperlink" Target="#inf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0</xdr:row>
      <xdr:rowOff>0</xdr:rowOff>
    </xdr:from>
    <xdr:to>
      <xdr:col>1</xdr:col>
      <xdr:colOff>726887</xdr:colOff>
      <xdr:row>3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1447800" y="0"/>
          <a:ext cx="669737" cy="1009650"/>
        </a:xfrm>
        <a:prstGeom prst="rect">
          <a:avLst/>
        </a:prstGeom>
      </xdr:spPr>
    </xdr:pic>
    <xdr:clientData/>
  </xdr:twoCellAnchor>
  <xdr:twoCellAnchor>
    <xdr:from>
      <xdr:col>2</xdr:col>
      <xdr:colOff>1571625</xdr:colOff>
      <xdr:row>10</xdr:row>
      <xdr:rowOff>152400</xdr:rowOff>
    </xdr:from>
    <xdr:to>
      <xdr:col>6</xdr:col>
      <xdr:colOff>333375</xdr:colOff>
      <xdr:row>14</xdr:row>
      <xdr:rowOff>133350</xdr:rowOff>
    </xdr:to>
    <xdr:sp macro="" textlink="">
      <xdr:nvSpPr>
        <xdr:cNvPr id="3" name="Rectangle: Rounded Corners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238500" y="2295525"/>
          <a:ext cx="2200275" cy="742950"/>
        </a:xfrm>
        <a:prstGeom prst="round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latin typeface="Times New Roman" panose="02020603050405020304" pitchFamily="18" charset="0"/>
              <a:cs typeface="Times New Roman" panose="02020603050405020304" pitchFamily="18" charset="0"/>
            </a:rPr>
            <a:t>CLICK</a:t>
          </a:r>
          <a:r>
            <a:rPr lang="en-US" sz="1800" baseline="0">
              <a:latin typeface="Times New Roman" panose="02020603050405020304" pitchFamily="18" charset="0"/>
              <a:cs typeface="Times New Roman" panose="02020603050405020304" pitchFamily="18" charset="0"/>
            </a:rPr>
            <a:t> HERE</a:t>
          </a:r>
          <a:endParaRPr lang="en-US" sz="18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333375</xdr:colOff>
      <xdr:row>7</xdr:row>
      <xdr:rowOff>152400</xdr:rowOff>
    </xdr:from>
    <xdr:to>
      <xdr:col>3</xdr:col>
      <xdr:colOff>361950</xdr:colOff>
      <xdr:row>11</xdr:row>
      <xdr:rowOff>180975</xdr:rowOff>
    </xdr:to>
    <xdr:sp macro="" textlink="">
      <xdr:nvSpPr>
        <xdr:cNvPr id="4" name="Arrow: Right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552575" y="1495425"/>
          <a:ext cx="638175" cy="7905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104775</xdr:colOff>
      <xdr:row>17</xdr:row>
      <xdr:rowOff>135731</xdr:rowOff>
    </xdr:from>
    <xdr:to>
      <xdr:col>3</xdr:col>
      <xdr:colOff>85725</xdr:colOff>
      <xdr:row>21</xdr:row>
      <xdr:rowOff>171451</xdr:rowOff>
    </xdr:to>
    <xdr:pic>
      <xdr:nvPicPr>
        <xdr:cNvPr id="5" name="Pictur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3975" y="3374231"/>
          <a:ext cx="1123950" cy="79772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4</xdr:row>
          <xdr:rowOff>123825</xdr:rowOff>
        </xdr:from>
        <xdr:to>
          <xdr:col>8</xdr:col>
          <xdr:colOff>342900</xdr:colOff>
          <xdr:row>7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MORE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1238250</xdr:colOff>
      <xdr:row>65</xdr:row>
      <xdr:rowOff>1</xdr:rowOff>
    </xdr:from>
    <xdr:to>
      <xdr:col>1</xdr:col>
      <xdr:colOff>2889250</xdr:colOff>
      <xdr:row>71</xdr:row>
      <xdr:rowOff>127001</xdr:rowOff>
    </xdr:to>
    <xdr:pic>
      <xdr:nvPicPr>
        <xdr:cNvPr id="3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4375" y="11239501"/>
          <a:ext cx="1651000" cy="127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1460500</xdr:colOff>
      <xdr:row>5</xdr:row>
      <xdr:rowOff>44449</xdr:rowOff>
    </xdr:from>
    <xdr:to>
      <xdr:col>2</xdr:col>
      <xdr:colOff>568753</xdr:colOff>
      <xdr:row>10</xdr:row>
      <xdr:rowOff>177800</xdr:rowOff>
    </xdr:to>
    <xdr:pic>
      <xdr:nvPicPr>
        <xdr:cNvPr id="3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0100" y="996949"/>
          <a:ext cx="1260903" cy="108585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9C6116A-45E8-4EA7-AB88-CEF1541B32AC}" name="Table1" displayName="Table1" ref="A4:C16" totalsRowShown="0" headerRowDxfId="5" dataDxfId="4" tableBorderDxfId="3">
  <tableColumns count="3">
    <tableColumn id="1" xr3:uid="{815AD91A-BCA0-4773-8515-5EC231C4DC54}" name="NAME" dataDxfId="2"/>
    <tableColumn id="2" xr3:uid="{FBD408F9-7168-4948-9A05-A787BB6623A4}" name="Reg.NO" dataDxfId="1"/>
    <tableColumn id="3" xr3:uid="{0AAD8629-8CC6-476C-A03E-9CFA1A0BF239}" name="CENTER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Paper">
      <a:dk1>
        <a:sysClr val="windowText" lastClr="000000"/>
      </a:dk1>
      <a:lt1>
        <a:sysClr val="window" lastClr="FFFFFF"/>
      </a:lt1>
      <a:dk2>
        <a:srgbClr val="444D26"/>
      </a:dk2>
      <a:lt2>
        <a:srgbClr val="FEFAC9"/>
      </a:lt2>
      <a:accent1>
        <a:srgbClr val="A5B592"/>
      </a:accent1>
      <a:accent2>
        <a:srgbClr val="F3A447"/>
      </a:accent2>
      <a:accent3>
        <a:srgbClr val="E7BC29"/>
      </a:accent3>
      <a:accent4>
        <a:srgbClr val="D092A7"/>
      </a:accent4>
      <a:accent5>
        <a:srgbClr val="9C85C0"/>
      </a:accent5>
      <a:accent6>
        <a:srgbClr val="809EC2"/>
      </a:accent6>
      <a:hlink>
        <a:srgbClr val="8E58B6"/>
      </a:hlink>
      <a:folHlink>
        <a:srgbClr val="7F6F6F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AA236-5106-4BF9-89EE-53193379F972}">
  <sheetPr codeName="Sheet2"/>
  <dimension ref="B1:I15"/>
  <sheetViews>
    <sheetView showGridLines="0" tabSelected="1" zoomScale="80" zoomScaleNormal="80" workbookViewId="0"/>
  </sheetViews>
  <sheetFormatPr defaultRowHeight="15" x14ac:dyDescent="0.25"/>
  <cols>
    <col min="1" max="1" width="20.85546875" style="2" customWidth="1"/>
    <col min="2" max="2" width="11.140625" style="2" customWidth="1"/>
    <col min="3" max="3" width="24.140625" style="2" customWidth="1"/>
    <col min="4" max="5" width="9.140625" style="2"/>
    <col min="6" max="6" width="9.7109375" style="2" customWidth="1"/>
    <col min="7" max="16384" width="9.140625" style="2"/>
  </cols>
  <sheetData>
    <row r="1" spans="2:9" ht="28.5" customHeight="1" x14ac:dyDescent="0.35">
      <c r="C1" s="31" t="s">
        <v>1</v>
      </c>
      <c r="D1" s="31"/>
      <c r="E1" s="31"/>
      <c r="F1" s="31"/>
      <c r="G1" s="31"/>
      <c r="H1" s="31"/>
      <c r="I1" s="31"/>
    </row>
    <row r="2" spans="2:9" ht="27" customHeight="1" x14ac:dyDescent="0.25">
      <c r="C2" s="32" t="s">
        <v>2</v>
      </c>
      <c r="D2" s="33"/>
      <c r="E2" s="33"/>
      <c r="F2" s="33"/>
      <c r="G2" s="33"/>
      <c r="H2" s="33"/>
      <c r="I2" s="33"/>
    </row>
    <row r="3" spans="2:9" ht="23.25" customHeight="1" x14ac:dyDescent="0.35">
      <c r="C3" s="34" t="s">
        <v>3</v>
      </c>
      <c r="D3" s="34"/>
      <c r="E3" s="34"/>
      <c r="F3" s="34"/>
      <c r="G3" s="34"/>
      <c r="H3" s="34"/>
      <c r="I3" s="34"/>
    </row>
    <row r="4" spans="2:9" x14ac:dyDescent="0.25">
      <c r="B4" s="5" t="s">
        <v>4</v>
      </c>
    </row>
    <row r="7" spans="2:9" ht="18.75" x14ac:dyDescent="0.3">
      <c r="C7" s="16" t="s">
        <v>74</v>
      </c>
      <c r="D7" s="16"/>
      <c r="E7" s="16"/>
      <c r="F7" s="16"/>
      <c r="G7" s="16"/>
      <c r="H7" s="16"/>
    </row>
    <row r="8" spans="2:9" ht="18.75" x14ac:dyDescent="0.3">
      <c r="C8" s="16" t="s">
        <v>75</v>
      </c>
      <c r="D8" s="16"/>
      <c r="E8" s="16"/>
      <c r="F8" s="16"/>
      <c r="G8" s="16"/>
      <c r="H8" s="16"/>
    </row>
    <row r="9" spans="2:9" ht="18.75" x14ac:dyDescent="0.3">
      <c r="C9" s="16" t="s">
        <v>76</v>
      </c>
      <c r="D9" s="16"/>
      <c r="E9" s="16"/>
      <c r="F9" s="16"/>
      <c r="G9" s="16"/>
      <c r="H9" s="16"/>
    </row>
    <row r="10" spans="2:9" x14ac:dyDescent="0.25">
      <c r="D10" s="3"/>
      <c r="E10" s="3"/>
      <c r="F10" s="4"/>
      <c r="G10" s="3"/>
    </row>
    <row r="11" spans="2:9" x14ac:dyDescent="0.25">
      <c r="D11" s="3"/>
      <c r="E11" s="3"/>
      <c r="F11" s="3"/>
      <c r="G11" s="3"/>
    </row>
    <row r="12" spans="2:9" x14ac:dyDescent="0.25">
      <c r="D12" s="3"/>
      <c r="E12" s="3"/>
      <c r="F12" s="3"/>
      <c r="G12" s="3"/>
    </row>
    <row r="13" spans="2:9" x14ac:dyDescent="0.25">
      <c r="D13" s="3"/>
      <c r="E13" s="3"/>
      <c r="F13" s="3"/>
      <c r="G13" s="3"/>
    </row>
    <row r="14" spans="2:9" x14ac:dyDescent="0.25">
      <c r="D14" s="3"/>
      <c r="E14" s="3"/>
      <c r="F14" s="3"/>
      <c r="G14" s="3"/>
    </row>
    <row r="15" spans="2:9" x14ac:dyDescent="0.25">
      <c r="D15" s="3"/>
      <c r="E15" s="3"/>
      <c r="F15" s="3"/>
      <c r="G15" s="3"/>
    </row>
  </sheetData>
  <mergeCells count="3">
    <mergeCell ref="C1:I1"/>
    <mergeCell ref="C2:I2"/>
    <mergeCell ref="C3:I3"/>
  </mergeCells>
  <printOptions horizontalCentered="1" verticalCentered="1"/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1599F-CED8-46F6-8A8E-B64A9256DA09}">
  <sheetPr codeName="Sheet3"/>
  <dimension ref="A4:L16"/>
  <sheetViews>
    <sheetView showGridLines="0" zoomScale="90" zoomScaleNormal="90" workbookViewId="0">
      <selection activeCell="F7" sqref="F7"/>
    </sheetView>
  </sheetViews>
  <sheetFormatPr defaultRowHeight="15" x14ac:dyDescent="0.25"/>
  <cols>
    <col min="1" max="1" width="25.7109375" customWidth="1"/>
    <col min="2" max="2" width="14.140625" customWidth="1"/>
    <col min="3" max="3" width="21.85546875" customWidth="1"/>
    <col min="4" max="4" width="18.140625" customWidth="1"/>
    <col min="5" max="5" width="16.140625" customWidth="1"/>
    <col min="6" max="6" width="12.28515625" customWidth="1"/>
    <col min="7" max="7" width="22.5703125" customWidth="1"/>
  </cols>
  <sheetData>
    <row r="4" spans="1:12" x14ac:dyDescent="0.25">
      <c r="A4" s="26" t="s">
        <v>17</v>
      </c>
      <c r="B4" s="26" t="s">
        <v>18</v>
      </c>
      <c r="C4" s="26" t="s">
        <v>19</v>
      </c>
    </row>
    <row r="5" spans="1:12" x14ac:dyDescent="0.25">
      <c r="A5" s="27" t="s">
        <v>5</v>
      </c>
      <c r="B5" s="1">
        <v>1685673</v>
      </c>
      <c r="C5" s="17" t="s">
        <v>0</v>
      </c>
    </row>
    <row r="6" spans="1:12" x14ac:dyDescent="0.25">
      <c r="A6" s="27" t="s">
        <v>6</v>
      </c>
      <c r="B6" s="1">
        <v>1685667</v>
      </c>
      <c r="C6" s="17" t="s">
        <v>20</v>
      </c>
      <c r="L6" t="s">
        <v>82</v>
      </c>
    </row>
    <row r="7" spans="1:12" x14ac:dyDescent="0.25">
      <c r="A7" s="27" t="s">
        <v>7</v>
      </c>
      <c r="B7" s="1">
        <v>1602840</v>
      </c>
      <c r="C7" s="17" t="s">
        <v>22</v>
      </c>
      <c r="L7" t="s">
        <v>81</v>
      </c>
    </row>
    <row r="8" spans="1:12" x14ac:dyDescent="0.25">
      <c r="A8" s="27" t="s">
        <v>8</v>
      </c>
      <c r="B8" s="1">
        <v>1611268</v>
      </c>
      <c r="C8" s="17" t="s">
        <v>0</v>
      </c>
    </row>
    <row r="9" spans="1:12" x14ac:dyDescent="0.25">
      <c r="A9" s="27" t="s">
        <v>9</v>
      </c>
      <c r="B9" s="1">
        <v>1605696</v>
      </c>
      <c r="C9" s="17" t="s">
        <v>21</v>
      </c>
    </row>
    <row r="10" spans="1:12" x14ac:dyDescent="0.25">
      <c r="A10" s="27" t="s">
        <v>10</v>
      </c>
      <c r="B10" s="1">
        <v>1614598</v>
      </c>
      <c r="C10" s="17" t="s">
        <v>0</v>
      </c>
    </row>
    <row r="11" spans="1:12" x14ac:dyDescent="0.25">
      <c r="A11" s="27" t="s">
        <v>11</v>
      </c>
      <c r="B11" s="1">
        <v>1618726</v>
      </c>
      <c r="C11" s="17" t="s">
        <v>22</v>
      </c>
    </row>
    <row r="12" spans="1:12" x14ac:dyDescent="0.25">
      <c r="A12" s="27" t="s">
        <v>12</v>
      </c>
      <c r="B12" s="1">
        <v>1628719</v>
      </c>
      <c r="C12" s="17" t="s">
        <v>0</v>
      </c>
    </row>
    <row r="13" spans="1:12" x14ac:dyDescent="0.25">
      <c r="A13" s="27" t="s">
        <v>13</v>
      </c>
      <c r="B13" s="1">
        <v>1644884</v>
      </c>
      <c r="C13" s="17" t="s">
        <v>0</v>
      </c>
    </row>
    <row r="14" spans="1:12" x14ac:dyDescent="0.25">
      <c r="A14" s="27" t="s">
        <v>14</v>
      </c>
      <c r="B14" s="1">
        <v>1647997</v>
      </c>
      <c r="C14" s="17" t="s">
        <v>22</v>
      </c>
    </row>
    <row r="15" spans="1:12" x14ac:dyDescent="0.25">
      <c r="A15" s="28" t="s">
        <v>15</v>
      </c>
      <c r="B15" s="6">
        <v>1647989</v>
      </c>
      <c r="C15" s="17" t="s">
        <v>23</v>
      </c>
    </row>
    <row r="16" spans="1:12" x14ac:dyDescent="0.25">
      <c r="A16" s="29" t="s">
        <v>16</v>
      </c>
      <c r="B16" s="8">
        <v>1648789</v>
      </c>
      <c r="C16" s="18" t="s">
        <v>20</v>
      </c>
    </row>
  </sheetData>
  <printOptions horizontalCentered="1" verticalCentered="1"/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4F5A6-990D-4178-BF9F-37CD5B50AC15}">
  <sheetPr codeName="Sheet1"/>
  <dimension ref="B3:D7"/>
  <sheetViews>
    <sheetView showGridLines="0" zoomScaleNormal="100" workbookViewId="0">
      <selection activeCell="D4" sqref="D4"/>
    </sheetView>
  </sheetViews>
  <sheetFormatPr defaultRowHeight="15" x14ac:dyDescent="0.25"/>
  <cols>
    <col min="1" max="3" width="9.140625" style="11"/>
    <col min="4" max="4" width="19" style="11" customWidth="1"/>
    <col min="5" max="16384" width="9.140625" style="11"/>
  </cols>
  <sheetData>
    <row r="3" spans="2:4" ht="15.75" thickBot="1" x14ac:dyDescent="0.3"/>
    <row r="4" spans="2:4" x14ac:dyDescent="0.25">
      <c r="B4" s="35" t="s">
        <v>17</v>
      </c>
      <c r="C4" s="36"/>
      <c r="D4" s="12" t="s">
        <v>11</v>
      </c>
    </row>
    <row r="5" spans="2:4" x14ac:dyDescent="0.25">
      <c r="B5" s="37" t="s">
        <v>24</v>
      </c>
      <c r="C5" s="38"/>
      <c r="D5" s="13">
        <f>VLOOKUP(D4,Table1[],2,FALSE)</f>
        <v>1618726</v>
      </c>
    </row>
    <row r="6" spans="2:4" ht="15.75" thickBot="1" x14ac:dyDescent="0.3">
      <c r="B6" s="39" t="s">
        <v>19</v>
      </c>
      <c r="C6" s="40"/>
      <c r="D6" s="23" t="str">
        <f>VLOOKUP(D4,Table1[#All],3,FALSE)</f>
        <v>MALAPPURAM</v>
      </c>
    </row>
    <row r="7" spans="2:4" ht="14.25" customHeight="1" x14ac:dyDescent="0.25"/>
  </sheetData>
  <dataConsolidate/>
  <mergeCells count="3">
    <mergeCell ref="B4:C4"/>
    <mergeCell ref="B5:C5"/>
    <mergeCell ref="B6:C6"/>
  </mergeCells>
  <printOptions horizontalCentered="1" verticalCentered="1"/>
  <pageMargins left="0.7" right="0.7" top="0.75" bottom="0.75" header="0.3" footer="0.3"/>
  <pageSetup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D4F608F-22C5-4435-97F9-E02868CE7DCB}">
          <x14:formula1>
            <xm:f>stdnt!$A$5:$A$18</xm:f>
          </x14:formula1>
          <xm:sqref>D4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CDBA1-F340-4532-8147-BABFB7711363}">
  <sheetPr codeName="Sheet6"/>
  <dimension ref="A1:G23"/>
  <sheetViews>
    <sheetView showGridLines="0" zoomScale="80" zoomScaleNormal="80" workbookViewId="0">
      <selection activeCell="G9" sqref="G9"/>
    </sheetView>
  </sheetViews>
  <sheetFormatPr defaultRowHeight="15" x14ac:dyDescent="0.25"/>
  <cols>
    <col min="1" max="1" width="12" customWidth="1"/>
    <col min="3" max="3" width="17.140625" customWidth="1"/>
    <col min="5" max="5" width="27" customWidth="1"/>
  </cols>
  <sheetData>
    <row r="1" spans="1:5" x14ac:dyDescent="0.25">
      <c r="A1" s="24" t="s">
        <v>17</v>
      </c>
      <c r="B1" s="24" t="s">
        <v>78</v>
      </c>
      <c r="C1" s="24" t="s">
        <v>77</v>
      </c>
      <c r="D1" s="24" t="s">
        <v>79</v>
      </c>
      <c r="E1" s="24" t="s">
        <v>92</v>
      </c>
    </row>
    <row r="2" spans="1:5" x14ac:dyDescent="0.25">
      <c r="A2" s="21" t="s">
        <v>5</v>
      </c>
      <c r="B2" s="25">
        <v>20</v>
      </c>
      <c r="C2" s="25" t="s">
        <v>80</v>
      </c>
      <c r="D2" s="25" t="s">
        <v>81</v>
      </c>
      <c r="E2" s="25" t="s">
        <v>89</v>
      </c>
    </row>
    <row r="3" spans="1:5" x14ac:dyDescent="0.25">
      <c r="A3" s="21" t="s">
        <v>84</v>
      </c>
      <c r="B3" s="25">
        <v>21</v>
      </c>
      <c r="C3" s="25" t="s">
        <v>85</v>
      </c>
      <c r="D3" s="25" t="s">
        <v>81</v>
      </c>
      <c r="E3" s="25" t="s">
        <v>86</v>
      </c>
    </row>
    <row r="4" spans="1:5" x14ac:dyDescent="0.25">
      <c r="A4" s="21" t="s">
        <v>8</v>
      </c>
      <c r="B4" s="25">
        <v>22</v>
      </c>
      <c r="C4" s="25" t="s">
        <v>85</v>
      </c>
      <c r="D4" s="25" t="s">
        <v>81</v>
      </c>
      <c r="E4" s="25" t="s">
        <v>83</v>
      </c>
    </row>
    <row r="5" spans="1:5" x14ac:dyDescent="0.25">
      <c r="A5" s="21" t="s">
        <v>6</v>
      </c>
      <c r="B5" s="25">
        <v>20</v>
      </c>
      <c r="C5" s="25" t="s">
        <v>87</v>
      </c>
      <c r="D5" s="25" t="s">
        <v>81</v>
      </c>
      <c r="E5" s="25" t="s">
        <v>88</v>
      </c>
    </row>
    <row r="6" spans="1:5" x14ac:dyDescent="0.25">
      <c r="A6" s="30" t="s">
        <v>9</v>
      </c>
      <c r="B6" s="30">
        <v>22</v>
      </c>
      <c r="C6" s="30" t="s">
        <v>80</v>
      </c>
      <c r="D6" s="30" t="s">
        <v>81</v>
      </c>
      <c r="E6" s="30" t="s">
        <v>90</v>
      </c>
    </row>
    <row r="7" spans="1:5" x14ac:dyDescent="0.25">
      <c r="A7" s="21" t="s">
        <v>11</v>
      </c>
      <c r="B7" s="21">
        <v>20</v>
      </c>
      <c r="C7" s="21" t="s">
        <v>91</v>
      </c>
      <c r="D7" s="21" t="s">
        <v>81</v>
      </c>
      <c r="E7" s="21" t="s">
        <v>83</v>
      </c>
    </row>
    <row r="8" spans="1:5" x14ac:dyDescent="0.25">
      <c r="A8" s="21"/>
      <c r="B8" s="21"/>
      <c r="C8" s="21"/>
      <c r="D8" s="21"/>
      <c r="E8" s="21"/>
    </row>
    <row r="9" spans="1:5" x14ac:dyDescent="0.25">
      <c r="A9" s="21"/>
      <c r="B9" s="21"/>
      <c r="C9" s="21"/>
      <c r="D9" s="21"/>
      <c r="E9" s="21"/>
    </row>
    <row r="10" spans="1:5" x14ac:dyDescent="0.25">
      <c r="A10" s="21"/>
      <c r="B10" s="21"/>
      <c r="C10" s="21"/>
      <c r="D10" s="21"/>
      <c r="E10" s="21"/>
    </row>
    <row r="11" spans="1:5" x14ac:dyDescent="0.25">
      <c r="A11" s="21"/>
      <c r="B11" s="21"/>
      <c r="C11" s="21"/>
      <c r="D11" s="21"/>
      <c r="E11" s="21"/>
    </row>
    <row r="12" spans="1:5" x14ac:dyDescent="0.25">
      <c r="A12" s="21"/>
      <c r="B12" s="21"/>
      <c r="C12" s="21"/>
      <c r="D12" s="21"/>
      <c r="E12" s="21"/>
    </row>
    <row r="13" spans="1:5" x14ac:dyDescent="0.25">
      <c r="A13" s="21"/>
      <c r="B13" s="21"/>
      <c r="C13" s="21"/>
      <c r="D13" s="21"/>
      <c r="E13" s="21"/>
    </row>
    <row r="14" spans="1:5" x14ac:dyDescent="0.25">
      <c r="A14" s="21"/>
      <c r="B14" s="21"/>
      <c r="C14" s="21"/>
      <c r="D14" s="21"/>
      <c r="E14" s="21"/>
    </row>
    <row r="15" spans="1:5" x14ac:dyDescent="0.25">
      <c r="A15" s="21"/>
      <c r="B15" s="21"/>
      <c r="C15" s="21"/>
      <c r="D15" s="21"/>
      <c r="E15" s="21"/>
    </row>
    <row r="16" spans="1:5" x14ac:dyDescent="0.25">
      <c r="A16" s="21"/>
      <c r="B16" s="21"/>
      <c r="C16" s="21"/>
      <c r="D16" s="21"/>
      <c r="E16" s="21"/>
    </row>
    <row r="17" spans="1:7" x14ac:dyDescent="0.25">
      <c r="A17" s="21"/>
      <c r="B17" s="21"/>
      <c r="C17" s="21"/>
      <c r="D17" s="21"/>
      <c r="E17" s="21"/>
    </row>
    <row r="23" spans="1:7" x14ac:dyDescent="0.25">
      <c r="G23" s="22"/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DETAILS_Button2_Click">
                <anchor moveWithCells="1" sizeWithCells="1">
                  <from>
                    <xdr:col>6</xdr:col>
                    <xdr:colOff>371475</xdr:colOff>
                    <xdr:row>4</xdr:row>
                    <xdr:rowOff>123825</xdr:rowOff>
                  </from>
                  <to>
                    <xdr:col>8</xdr:col>
                    <xdr:colOff>342900</xdr:colOff>
                    <xdr:row>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9A466-F580-4B69-ABD5-4C9EC73FBBE7}">
  <sheetPr codeName="Sheet5"/>
  <dimension ref="A1:C62"/>
  <sheetViews>
    <sheetView showGridLines="0" zoomScale="80" zoomScaleNormal="80" workbookViewId="0">
      <pane ySplit="1" topLeftCell="A54" activePane="bottomLeft" state="frozen"/>
      <selection pane="bottomLeft" activeCell="C44" sqref="C44:C49"/>
    </sheetView>
  </sheetViews>
  <sheetFormatPr defaultRowHeight="15" x14ac:dyDescent="0.25"/>
  <cols>
    <col min="1" max="1" width="13.140625" customWidth="1"/>
    <col min="2" max="2" width="55.28515625" customWidth="1"/>
    <col min="3" max="3" width="12.85546875" style="10" customWidth="1"/>
  </cols>
  <sheetData>
    <row r="1" spans="1:3" x14ac:dyDescent="0.25">
      <c r="B1" s="7" t="s">
        <v>47</v>
      </c>
    </row>
    <row r="3" spans="1:3" x14ac:dyDescent="0.25">
      <c r="A3" s="19" t="s">
        <v>25</v>
      </c>
    </row>
    <row r="4" spans="1:3" x14ac:dyDescent="0.25">
      <c r="A4" s="9"/>
      <c r="B4" t="s">
        <v>29</v>
      </c>
      <c r="C4" s="41" t="s">
        <v>27</v>
      </c>
    </row>
    <row r="5" spans="1:3" x14ac:dyDescent="0.25">
      <c r="A5" s="9"/>
      <c r="C5" s="41"/>
    </row>
    <row r="6" spans="1:3" x14ac:dyDescent="0.25">
      <c r="B6" t="s">
        <v>26</v>
      </c>
      <c r="C6" s="41"/>
    </row>
    <row r="7" spans="1:3" x14ac:dyDescent="0.25">
      <c r="B7" t="s">
        <v>27</v>
      </c>
      <c r="C7" s="41"/>
    </row>
    <row r="8" spans="1:3" x14ac:dyDescent="0.25">
      <c r="B8" t="s">
        <v>35</v>
      </c>
      <c r="C8" s="41"/>
    </row>
    <row r="9" spans="1:3" x14ac:dyDescent="0.25">
      <c r="B9" t="s">
        <v>36</v>
      </c>
      <c r="C9" s="41"/>
    </row>
    <row r="10" spans="1:3" x14ac:dyDescent="0.25">
      <c r="A10" s="20" t="s">
        <v>28</v>
      </c>
    </row>
    <row r="11" spans="1:3" x14ac:dyDescent="0.25">
      <c r="B11" t="s">
        <v>30</v>
      </c>
      <c r="C11" s="41" t="s">
        <v>32</v>
      </c>
    </row>
    <row r="12" spans="1:3" x14ac:dyDescent="0.25">
      <c r="C12" s="41"/>
    </row>
    <row r="13" spans="1:3" x14ac:dyDescent="0.25">
      <c r="B13" t="s">
        <v>31</v>
      </c>
      <c r="C13" s="41"/>
    </row>
    <row r="14" spans="1:3" x14ac:dyDescent="0.25">
      <c r="B14" t="s">
        <v>32</v>
      </c>
      <c r="C14" s="41"/>
    </row>
    <row r="15" spans="1:3" x14ac:dyDescent="0.25">
      <c r="B15" t="s">
        <v>33</v>
      </c>
      <c r="C15" s="41"/>
    </row>
    <row r="16" spans="1:3" x14ac:dyDescent="0.25">
      <c r="A16" s="20" t="s">
        <v>34</v>
      </c>
    </row>
    <row r="17" spans="1:3" x14ac:dyDescent="0.25">
      <c r="B17" t="s">
        <v>37</v>
      </c>
      <c r="C17" s="41" t="s">
        <v>39</v>
      </c>
    </row>
    <row r="18" spans="1:3" x14ac:dyDescent="0.25">
      <c r="C18" s="41"/>
    </row>
    <row r="19" spans="1:3" x14ac:dyDescent="0.25">
      <c r="B19" t="s">
        <v>38</v>
      </c>
      <c r="C19" s="41"/>
    </row>
    <row r="20" spans="1:3" x14ac:dyDescent="0.25">
      <c r="B20" t="s">
        <v>39</v>
      </c>
      <c r="C20" s="41"/>
    </row>
    <row r="21" spans="1:3" x14ac:dyDescent="0.25">
      <c r="B21" t="s">
        <v>40</v>
      </c>
      <c r="C21" s="41"/>
    </row>
    <row r="22" spans="1:3" x14ac:dyDescent="0.25">
      <c r="A22" s="20" t="s">
        <v>41</v>
      </c>
    </row>
    <row r="23" spans="1:3" x14ac:dyDescent="0.25">
      <c r="B23" t="s">
        <v>42</v>
      </c>
      <c r="C23" s="41"/>
    </row>
    <row r="24" spans="1:3" x14ac:dyDescent="0.25">
      <c r="C24" s="41"/>
    </row>
    <row r="25" spans="1:3" x14ac:dyDescent="0.25">
      <c r="B25" t="s">
        <v>43</v>
      </c>
      <c r="C25" s="41"/>
    </row>
    <row r="26" spans="1:3" x14ac:dyDescent="0.25">
      <c r="B26" t="s">
        <v>44</v>
      </c>
      <c r="C26" s="41"/>
    </row>
    <row r="27" spans="1:3" x14ac:dyDescent="0.25">
      <c r="B27" t="s">
        <v>45</v>
      </c>
      <c r="C27" s="41"/>
    </row>
    <row r="28" spans="1:3" x14ac:dyDescent="0.25">
      <c r="B28" t="s">
        <v>46</v>
      </c>
      <c r="C28" s="41"/>
    </row>
    <row r="29" spans="1:3" x14ac:dyDescent="0.25">
      <c r="A29" s="20" t="s">
        <v>53</v>
      </c>
    </row>
    <row r="30" spans="1:3" x14ac:dyDescent="0.25">
      <c r="B30" t="s">
        <v>48</v>
      </c>
      <c r="C30" s="41"/>
    </row>
    <row r="31" spans="1:3" x14ac:dyDescent="0.25">
      <c r="C31" s="41"/>
    </row>
    <row r="32" spans="1:3" x14ac:dyDescent="0.25">
      <c r="B32" t="s">
        <v>49</v>
      </c>
      <c r="C32" s="41"/>
    </row>
    <row r="33" spans="1:3" x14ac:dyDescent="0.25">
      <c r="B33" t="s">
        <v>50</v>
      </c>
      <c r="C33" s="41"/>
    </row>
    <row r="34" spans="1:3" x14ac:dyDescent="0.25">
      <c r="B34" t="s">
        <v>51</v>
      </c>
      <c r="C34" s="41"/>
    </row>
    <row r="35" spans="1:3" x14ac:dyDescent="0.25">
      <c r="B35" t="s">
        <v>52</v>
      </c>
      <c r="C35" s="41"/>
    </row>
    <row r="36" spans="1:3" x14ac:dyDescent="0.25">
      <c r="A36" s="20" t="s">
        <v>54</v>
      </c>
    </row>
    <row r="37" spans="1:3" x14ac:dyDescent="0.25">
      <c r="B37" t="s">
        <v>55</v>
      </c>
    </row>
    <row r="39" spans="1:3" x14ac:dyDescent="0.25">
      <c r="B39" t="s">
        <v>56</v>
      </c>
      <c r="C39" s="41" t="s">
        <v>58</v>
      </c>
    </row>
    <row r="40" spans="1:3" x14ac:dyDescent="0.25">
      <c r="B40" t="s">
        <v>57</v>
      </c>
      <c r="C40" s="41"/>
    </row>
    <row r="41" spans="1:3" x14ac:dyDescent="0.25">
      <c r="B41" t="s">
        <v>58</v>
      </c>
      <c r="C41" s="41"/>
    </row>
    <row r="42" spans="1:3" x14ac:dyDescent="0.25">
      <c r="B42" t="s">
        <v>59</v>
      </c>
      <c r="C42" s="41"/>
    </row>
    <row r="43" spans="1:3" x14ac:dyDescent="0.25">
      <c r="A43" s="20" t="s">
        <v>60</v>
      </c>
    </row>
    <row r="44" spans="1:3" x14ac:dyDescent="0.25">
      <c r="B44" t="s">
        <v>61</v>
      </c>
      <c r="C44" s="41" t="s">
        <v>59</v>
      </c>
    </row>
    <row r="45" spans="1:3" x14ac:dyDescent="0.25">
      <c r="C45" s="41"/>
    </row>
    <row r="46" spans="1:3" x14ac:dyDescent="0.25">
      <c r="B46" t="s">
        <v>56</v>
      </c>
      <c r="C46" s="41"/>
    </row>
    <row r="47" spans="1:3" x14ac:dyDescent="0.25">
      <c r="B47" t="s">
        <v>57</v>
      </c>
      <c r="C47" s="41"/>
    </row>
    <row r="48" spans="1:3" x14ac:dyDescent="0.25">
      <c r="B48" t="s">
        <v>58</v>
      </c>
      <c r="C48" s="41"/>
    </row>
    <row r="49" spans="1:3" x14ac:dyDescent="0.25">
      <c r="B49" t="s">
        <v>59</v>
      </c>
      <c r="C49" s="41"/>
    </row>
    <row r="50" spans="1:3" x14ac:dyDescent="0.25">
      <c r="A50" s="20" t="s">
        <v>62</v>
      </c>
    </row>
    <row r="51" spans="1:3" x14ac:dyDescent="0.25">
      <c r="B51" t="s">
        <v>68</v>
      </c>
      <c r="C51" s="41"/>
    </row>
    <row r="52" spans="1:3" x14ac:dyDescent="0.25">
      <c r="C52" s="41"/>
    </row>
    <row r="53" spans="1:3" x14ac:dyDescent="0.25">
      <c r="B53" t="s">
        <v>69</v>
      </c>
      <c r="C53" s="41"/>
    </row>
    <row r="54" spans="1:3" x14ac:dyDescent="0.25">
      <c r="B54" t="s">
        <v>70</v>
      </c>
      <c r="C54" s="41"/>
    </row>
    <row r="55" spans="1:3" x14ac:dyDescent="0.25">
      <c r="B55" t="s">
        <v>72</v>
      </c>
      <c r="C55" s="41"/>
    </row>
    <row r="56" spans="1:3" x14ac:dyDescent="0.25">
      <c r="B56" t="s">
        <v>71</v>
      </c>
      <c r="C56" s="41"/>
    </row>
    <row r="57" spans="1:3" x14ac:dyDescent="0.25">
      <c r="A57" s="20" t="s">
        <v>67</v>
      </c>
    </row>
    <row r="58" spans="1:3" x14ac:dyDescent="0.25">
      <c r="B58" t="s">
        <v>63</v>
      </c>
      <c r="C58" s="41"/>
    </row>
    <row r="59" spans="1:3" x14ac:dyDescent="0.25">
      <c r="C59" s="41"/>
    </row>
    <row r="60" spans="1:3" x14ac:dyDescent="0.25">
      <c r="B60" t="s">
        <v>64</v>
      </c>
      <c r="C60" s="41"/>
    </row>
    <row r="61" spans="1:3" x14ac:dyDescent="0.25">
      <c r="B61" t="s">
        <v>65</v>
      </c>
      <c r="C61" s="41"/>
    </row>
    <row r="62" spans="1:3" x14ac:dyDescent="0.25">
      <c r="B62" t="s">
        <v>66</v>
      </c>
      <c r="C62" s="41"/>
    </row>
  </sheetData>
  <mergeCells count="9">
    <mergeCell ref="C44:C49"/>
    <mergeCell ref="C51:C56"/>
    <mergeCell ref="C58:C62"/>
    <mergeCell ref="C4:C9"/>
    <mergeCell ref="C11:C15"/>
    <mergeCell ref="C17:C21"/>
    <mergeCell ref="C23:C28"/>
    <mergeCell ref="C30:C35"/>
    <mergeCell ref="C39:C42"/>
  </mergeCells>
  <dataValidations count="11">
    <dataValidation type="list" allowBlank="1" showInputMessage="1" showErrorMessage="1" sqref="C57" xr:uid="{0D4CC1BA-30E2-49EC-9F22-08752096E11F}">
      <formula1>$B$6:$B$9</formula1>
    </dataValidation>
    <dataValidation type="list" allowBlank="1" showInputMessage="1" showErrorMessage="1" sqref="C11:C15" xr:uid="{BCB0AF00-98AD-4CC8-94B3-663D60033F90}">
      <formula1>$B$12:$B$15</formula1>
    </dataValidation>
    <dataValidation type="list" allowBlank="1" showInputMessage="1" showErrorMessage="1" sqref="C23:C28" xr:uid="{B83FE5DE-0314-4CD9-B2E1-A75C0203D7AC}">
      <formula1>$B$24:$B$28</formula1>
    </dataValidation>
    <dataValidation type="list" allowBlank="1" showInputMessage="1" showErrorMessage="1" sqref="C30:C35" xr:uid="{CDD2B6ED-91BE-4F74-AFC4-09A943B570CD}">
      <formula1>$B$31:$B$35</formula1>
    </dataValidation>
    <dataValidation type="list" allowBlank="1" showInputMessage="1" showErrorMessage="1" sqref="C37:C38" xr:uid="{31FE8808-2232-4BBF-982C-42E3D5C18688}">
      <formula1>$B$39:$B$42</formula1>
    </dataValidation>
    <dataValidation type="list" allowBlank="1" showInputMessage="1" showErrorMessage="1" sqref="C44:C49" xr:uid="{629158E1-883C-495A-9198-51BC7E9939BA}">
      <formula1>$B$45:$B$49</formula1>
    </dataValidation>
    <dataValidation type="list" allowBlank="1" showInputMessage="1" showErrorMessage="1" sqref="C58:C62" xr:uid="{D24C4985-533F-4AD7-BCCB-0BBA49A0D52C}">
      <formula1>$B$59:$B$62</formula1>
    </dataValidation>
    <dataValidation type="list" allowBlank="1" showInputMessage="1" showErrorMessage="1" sqref="C4:C9" xr:uid="{4F02152B-073D-42F8-A1C6-EAF1D828A976}">
      <formula1>$B$5:$B$9</formula1>
    </dataValidation>
    <dataValidation type="list" allowBlank="1" showInputMessage="1" showErrorMessage="1" sqref="C17:C21" xr:uid="{13DFC00E-96EB-4F22-9475-317FF07E66F4}">
      <formula1>$B$18:$B$21</formula1>
    </dataValidation>
    <dataValidation type="list" allowBlank="1" showInputMessage="1" showErrorMessage="1" sqref="C39:C42" xr:uid="{B0CDC8C4-0778-4310-BDE5-00A1EF52E7ED}">
      <formula1>$B$38:$B$42</formula1>
    </dataValidation>
    <dataValidation type="list" allowBlank="1" showInputMessage="1" showErrorMessage="1" sqref="C51:C56" xr:uid="{EF8B2543-B4A4-419A-9CEB-9090025C5F13}">
      <formula1>$B$52:$B$56</formula1>
    </dataValidation>
  </dataValidations>
  <printOptions horizontalCentered="1" verticalCentered="1"/>
  <pageMargins left="0.7" right="0.7" top="0.75" bottom="0.75" header="0.3" footer="0.3"/>
  <pageSetup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33DEB-C040-494E-B128-E3EAAAE842B2}">
  <sheetPr codeName="Sheet4"/>
  <dimension ref="B2:C4"/>
  <sheetViews>
    <sheetView showGridLines="0" zoomScale="120" zoomScaleNormal="120" workbookViewId="0"/>
  </sheetViews>
  <sheetFormatPr defaultRowHeight="15" x14ac:dyDescent="0.25"/>
  <cols>
    <col min="2" max="2" width="32.28515625" customWidth="1"/>
    <col min="3" max="3" width="28.85546875" customWidth="1"/>
  </cols>
  <sheetData>
    <row r="2" spans="2:3" x14ac:dyDescent="0.25">
      <c r="B2" s="14" t="s">
        <v>17</v>
      </c>
      <c r="C2" s="15" t="str">
        <f>HLOOKUP(DETAILS!D4,DETAILS!B4:D6,1,FALSE)</f>
        <v>SAFNA</v>
      </c>
    </row>
    <row r="3" spans="2:3" x14ac:dyDescent="0.25">
      <c r="B3" s="14" t="s">
        <v>24</v>
      </c>
      <c r="C3" s="15">
        <f>HLOOKUP(C2,DETAILS!B4:D6,2,FALSE)</f>
        <v>1618726</v>
      </c>
    </row>
    <row r="4" spans="2:3" x14ac:dyDescent="0.25">
      <c r="B4" s="14" t="s">
        <v>73</v>
      </c>
      <c r="C4" s="15">
        <f>COUNTA(QUESTIONNAIRE!C4:C63)</f>
        <v>5</v>
      </c>
    </row>
  </sheetData>
  <printOptions horizontalCentered="1" verticalCentered="1"/>
  <pageMargins left="0.7" right="0.7" top="0.75" bottom="0.75" header="0.3" footer="0.3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info</vt:lpstr>
      <vt:lpstr>stdnt</vt:lpstr>
      <vt:lpstr>DETAILS</vt:lpstr>
      <vt:lpstr>Sheet1</vt:lpstr>
      <vt:lpstr>QUESTIONNAIRE</vt:lpstr>
      <vt:lpstr>result</vt:lpstr>
      <vt:lpstr>ABC</vt:lpstr>
      <vt:lpstr>stdnt!Criteria</vt:lpstr>
      <vt:lpstr>GEND</vt:lpstr>
      <vt:lpstr>NAME</vt:lpstr>
      <vt:lpstr>namee</vt:lpstr>
      <vt:lpstr>SANIYA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5</dc:creator>
  <cp:lastModifiedBy>5</cp:lastModifiedBy>
  <cp:lastPrinted>2024-07-17T04:43:00Z</cp:lastPrinted>
  <dcterms:created xsi:type="dcterms:W3CDTF">2024-07-16T04:05:04Z</dcterms:created>
  <dcterms:modified xsi:type="dcterms:W3CDTF">2024-07-17T07:57:42Z</dcterms:modified>
</cp:coreProperties>
</file>